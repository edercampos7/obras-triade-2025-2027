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der Azevedo\Desktop\Ata 2025 - 2027 Triade\"/>
    </mc:Choice>
  </mc:AlternateContent>
  <xr:revisionPtr revIDLastSave="0" documentId="13_ncr:1_{B691B473-AF61-4922-B91F-AB427DFB7D4E}" xr6:coauthVersionLast="47" xr6:coauthVersionMax="47" xr10:uidLastSave="{00000000-0000-0000-0000-000000000000}"/>
  <bookViews>
    <workbookView xWindow="1560" yWindow="1560" windowWidth="15375" windowHeight="7785" tabRatio="500" xr2:uid="{00000000-000D-0000-FFFF-FFFF00000000}"/>
  </bookViews>
  <sheets>
    <sheet name="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" i="1" l="1"/>
  <c r="K10" i="1"/>
  <c r="L10" i="1" s="1"/>
</calcChain>
</file>

<file path=xl/sharedStrings.xml><?xml version="1.0" encoding="utf-8"?>
<sst xmlns="http://schemas.openxmlformats.org/spreadsheetml/2006/main" count="75" uniqueCount="41">
  <si>
    <t>Nome da Via</t>
  </si>
  <si>
    <t>Prazo</t>
  </si>
  <si>
    <t>Status</t>
  </si>
  <si>
    <t>Data Início</t>
  </si>
  <si>
    <t>Data Fim</t>
  </si>
  <si>
    <t>Área (m²)</t>
  </si>
  <si>
    <t>Valor Estimado (R$)</t>
  </si>
  <si>
    <t>% Concluído</t>
  </si>
  <si>
    <t>Valor Medido (R$)</t>
  </si>
  <si>
    <t>Valor a Medir (R$)</t>
  </si>
  <si>
    <t>Subprefeitura</t>
  </si>
  <si>
    <t>024/2026</t>
  </si>
  <si>
    <t>SB</t>
  </si>
  <si>
    <t>Rua Estrela Guia</t>
  </si>
  <si>
    <t>Rua Antônio Sarzedas</t>
  </si>
  <si>
    <t>Rua Milton da Cruz</t>
  </si>
  <si>
    <t>Rua Boleadeiras</t>
  </si>
  <si>
    <t>081/2026</t>
  </si>
  <si>
    <t>VP</t>
  </si>
  <si>
    <t>Rua Lisa Ansorge</t>
  </si>
  <si>
    <t>CONCLUIDA</t>
  </si>
  <si>
    <t>EM EXECUÇÃO</t>
  </si>
  <si>
    <t>Travessa Paracelsus</t>
  </si>
  <si>
    <t>Rua Sinfonias do Acaso</t>
  </si>
  <si>
    <t>Rua Soldado Cãndido da Luz Paiva</t>
  </si>
  <si>
    <t>Rua Primavera de Caiena</t>
  </si>
  <si>
    <t>SB = SAPOPEMBA</t>
  </si>
  <si>
    <t>VP = VILA PRUDENTE</t>
  </si>
  <si>
    <t>CONTRATO</t>
  </si>
  <si>
    <t>AF = ARICANDUVA</t>
  </si>
  <si>
    <t>Rua Francisco Usper - Trecho I</t>
  </si>
  <si>
    <t>ESTUDO</t>
  </si>
  <si>
    <t>Rua Torres Florêncio e Rielli</t>
  </si>
  <si>
    <t>Rua das Giestas</t>
  </si>
  <si>
    <t>Rua Ana Clara</t>
  </si>
  <si>
    <t>Rua Igarata</t>
  </si>
  <si>
    <t>AF</t>
  </si>
  <si>
    <t>Rua Lutecia - Trecho II</t>
  </si>
  <si>
    <t>Rua Pretória</t>
  </si>
  <si>
    <t>Rua Baia Grande</t>
  </si>
  <si>
    <t>PARALISADA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</si>
</sst>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 &quot;#,##0.00"/>
  </numFmts>
  <fonts count="5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2" fillId="0" borderId="0"/>
    <xf numFmtId="44" fontId="2" fillId="0" borderId="0" applyFont="0" applyFill="0" applyBorder="0" applyAlignment="0" applyProtection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4" fontId="4" fillId="3" borderId="1" xfId="0" applyNumberFormat="1" applyFont="1" applyFill="1" applyBorder="1"/>
    <xf numFmtId="9" fontId="4" fillId="3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14" fontId="4" fillId="3" borderId="0" xfId="0" applyNumberFormat="1" applyFont="1" applyFill="1" applyAlignment="1">
      <alignment horizontal="center" vertical="center"/>
    </xf>
    <xf numFmtId="4" fontId="4" fillId="3" borderId="0" xfId="0" applyNumberFormat="1" applyFont="1" applyFill="1"/>
    <xf numFmtId="164" fontId="4" fillId="3" borderId="0" xfId="0" applyNumberFormat="1" applyFont="1" applyFill="1" applyAlignment="1">
      <alignment horizontal="center"/>
    </xf>
    <xf numFmtId="9" fontId="4" fillId="3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/>
    </xf>
    <xf numFmtId="164" fontId="4" fillId="4" borderId="0" xfId="0" applyNumberFormat="1" applyFont="1" applyFill="1"/>
    <xf numFmtId="0" fontId="4" fillId="0" borderId="0" xfId="0" applyFont="1" applyAlignment="1">
      <alignment horizontal="left" vertical="center"/>
    </xf>
    <xf numFmtId="0" fontId="2" fillId="0" borderId="0" xfId="1" applyAlignment="1">
      <alignment horizontal="left" vertical="center"/>
    </xf>
    <xf numFmtId="0" fontId="1" fillId="0" borderId="0" xfId="1" applyFont="1" applyAlignment="1">
      <alignment horizontal="left" vertical="center"/>
    </xf>
  </cellXfs>
  <cellStyles count="3">
    <cellStyle name="Moeda 2" xfId="2" xr:uid="{F764D4D9-EC85-4D1F-BB6B-E9AAAE726BF8}"/>
    <cellStyle name="Normal" xfId="0" builtinId="0"/>
    <cellStyle name="Normal 2" xfId="1" xr:uid="{A3B85D15-3503-43C4-80D8-C2001CA0650B}"/>
  </cellStyles>
  <dxfs count="6">
    <dxf>
      <fill>
        <patternFill>
          <bgColor theme="2" tint="-9.9948118533890809E-2"/>
        </patternFill>
      </fill>
      <border>
        <left style="medium">
          <color auto="1"/>
        </left>
        <right style="medium">
          <color auto="1"/>
        </right>
        <vertical style="hair">
          <color auto="1"/>
        </vertical>
        <horizontal style="hair">
          <color auto="1"/>
        </horizontal>
      </border>
    </dxf>
    <dxf>
      <border>
        <left style="medium">
          <color auto="1"/>
        </left>
        <right style="medium">
          <color auto="1"/>
        </right>
        <vertical style="hair">
          <color auto="1"/>
        </vertical>
        <horizontal style="hair">
          <color auto="1"/>
        </horizontal>
      </border>
    </dxf>
    <dxf>
      <border>
        <vertical style="hair">
          <color auto="1"/>
        </vertical>
      </border>
    </dxf>
    <dxf>
      <font>
        <b/>
        <i val="0"/>
        <strike val="0"/>
      </font>
      <fill>
        <patternFill>
          <bgColor theme="9" tint="0.39994506668294322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/>
        <i val="0"/>
        <strike val="0"/>
      </font>
      <fill>
        <patternFill>
          <bgColor theme="9" tint="0.39994506668294322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hair">
          <color auto="1"/>
        </vertical>
        <horizontal style="hair">
          <color auto="1"/>
        </horizontal>
      </border>
    </dxf>
    <dxf>
      <border>
        <vertical style="hair">
          <color auto="1"/>
        </vertical>
        <horizontal style="hair">
          <color auto="1"/>
        </horizontal>
      </border>
    </dxf>
  </dxfs>
  <tableStyles count="1" defaultTableStyle="TableStyleMedium2" defaultPivotStyle="PivotStyleLight16">
    <tableStyle name="Estilo de Tabela 1" pivot="0" count="6" xr9:uid="{5DD0D24E-A53A-42AD-A091-F6F48F48D136}">
      <tableStyleElement type="wholeTable" dxfId="5"/>
      <tableStyleElement type="headerRow" dxfId="4"/>
      <tableStyleElement type="totalRow" dxfId="3"/>
      <tableStyleElement type="firstColumn" dxfId="2"/>
      <tableStyleElement type="firstRowStripe" dxfId="1"/>
      <tableStyleElement type="secondRowStripe" dxfId="0"/>
    </tableStyle>
  </table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topLeftCell="B1" zoomScaleNormal="100" workbookViewId="0">
      <pane ySplit="1" topLeftCell="A8" activePane="bottomLeft" state="frozen"/>
      <selection pane="bottomLeft" activeCell="F11" sqref="F11"/>
    </sheetView>
  </sheetViews>
  <sheetFormatPr defaultColWidth="8.7109375" defaultRowHeight="15" x14ac:dyDescent="0.25"/>
  <cols>
    <col min="1" max="1" width="13.42578125" bestFit="1" customWidth="1"/>
    <col min="2" max="2" width="20.7109375" bestFit="1" customWidth="1"/>
    <col min="3" max="3" width="30.7109375" bestFit="1" customWidth="1"/>
    <col min="4" max="4" width="6.85546875" bestFit="1" customWidth="1"/>
    <col min="5" max="5" width="14.7109375" bestFit="1" customWidth="1"/>
    <col min="6" max="6" width="11.5703125" bestFit="1" customWidth="1"/>
    <col min="7" max="7" width="10.140625" bestFit="1" customWidth="1"/>
    <col min="8" max="8" width="10" bestFit="1" customWidth="1"/>
    <col min="9" max="9" width="21" style="11" bestFit="1" customWidth="1"/>
    <col min="10" max="10" width="13.85546875" bestFit="1" customWidth="1"/>
    <col min="11" max="11" width="19.28515625" style="11" bestFit="1" customWidth="1"/>
    <col min="12" max="12" width="19.28515625" bestFit="1" customWidth="1"/>
  </cols>
  <sheetData>
    <row r="1" spans="1:12" ht="30" customHeight="1" x14ac:dyDescent="0.25">
      <c r="A1" s="1" t="s">
        <v>28</v>
      </c>
      <c r="B1" s="1" t="s">
        <v>10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25">
      <c r="A2" s="2" t="s">
        <v>11</v>
      </c>
      <c r="B2" s="9" t="s">
        <v>12</v>
      </c>
      <c r="C2" s="8" t="s">
        <v>13</v>
      </c>
      <c r="D2" s="2">
        <v>120</v>
      </c>
      <c r="E2" s="3" t="s">
        <v>20</v>
      </c>
      <c r="F2" s="4">
        <v>46076</v>
      </c>
      <c r="G2" s="4">
        <v>46193</v>
      </c>
      <c r="H2" s="5">
        <v>312</v>
      </c>
      <c r="I2" s="10">
        <v>103668.76</v>
      </c>
      <c r="J2" s="6">
        <v>1</v>
      </c>
      <c r="K2" s="12">
        <v>98992.21</v>
      </c>
      <c r="L2" s="7">
        <v>0</v>
      </c>
    </row>
    <row r="3" spans="1:12" x14ac:dyDescent="0.25">
      <c r="A3" s="2" t="s">
        <v>11</v>
      </c>
      <c r="B3" s="9" t="s">
        <v>12</v>
      </c>
      <c r="C3" s="8" t="s">
        <v>22</v>
      </c>
      <c r="D3" s="2">
        <v>120</v>
      </c>
      <c r="E3" s="3" t="s">
        <v>20</v>
      </c>
      <c r="F3" s="4">
        <v>46076</v>
      </c>
      <c r="G3" s="4">
        <v>46193</v>
      </c>
      <c r="H3" s="5">
        <v>2800</v>
      </c>
      <c r="I3" s="10">
        <v>1016150.57</v>
      </c>
      <c r="J3" s="6">
        <v>1</v>
      </c>
      <c r="K3" s="12">
        <v>847184.62</v>
      </c>
      <c r="L3" s="7">
        <v>0</v>
      </c>
    </row>
    <row r="4" spans="1:12" x14ac:dyDescent="0.25">
      <c r="A4" s="2" t="s">
        <v>11</v>
      </c>
      <c r="B4" s="9" t="s">
        <v>12</v>
      </c>
      <c r="C4" s="8" t="s">
        <v>23</v>
      </c>
      <c r="D4" s="2">
        <v>120</v>
      </c>
      <c r="E4" s="3" t="s">
        <v>20</v>
      </c>
      <c r="F4" s="4">
        <v>46076</v>
      </c>
      <c r="G4" s="4">
        <v>46193</v>
      </c>
      <c r="H4" s="5">
        <v>5200.25</v>
      </c>
      <c r="I4" s="10">
        <v>1563032.18</v>
      </c>
      <c r="J4" s="6">
        <v>1</v>
      </c>
      <c r="K4" s="12">
        <v>1470253.22</v>
      </c>
      <c r="L4" s="7">
        <v>0</v>
      </c>
    </row>
    <row r="5" spans="1:12" x14ac:dyDescent="0.25">
      <c r="A5" s="2" t="s">
        <v>11</v>
      </c>
      <c r="B5" s="9" t="s">
        <v>12</v>
      </c>
      <c r="C5" s="8" t="s">
        <v>14</v>
      </c>
      <c r="D5" s="2">
        <v>120</v>
      </c>
      <c r="E5" s="3" t="s">
        <v>20</v>
      </c>
      <c r="F5" s="4">
        <v>46076</v>
      </c>
      <c r="G5" s="4">
        <v>46193</v>
      </c>
      <c r="H5" s="5">
        <v>2880.4</v>
      </c>
      <c r="I5" s="10">
        <v>683251.65</v>
      </c>
      <c r="J5" s="6">
        <v>1</v>
      </c>
      <c r="K5" s="12">
        <v>561792.5</v>
      </c>
      <c r="L5" s="7">
        <v>0</v>
      </c>
    </row>
    <row r="6" spans="1:12" x14ac:dyDescent="0.25">
      <c r="A6" s="2" t="s">
        <v>11</v>
      </c>
      <c r="B6" s="9" t="s">
        <v>12</v>
      </c>
      <c r="C6" s="8" t="s">
        <v>24</v>
      </c>
      <c r="D6" s="2">
        <v>120</v>
      </c>
      <c r="E6" s="3" t="s">
        <v>20</v>
      </c>
      <c r="F6" s="4">
        <v>46076</v>
      </c>
      <c r="G6" s="4">
        <v>46193</v>
      </c>
      <c r="H6" s="5">
        <v>3140</v>
      </c>
      <c r="I6" s="10">
        <v>843812.64</v>
      </c>
      <c r="J6" s="6">
        <v>1</v>
      </c>
      <c r="K6" s="12">
        <v>709824.53</v>
      </c>
      <c r="L6" s="7">
        <v>0</v>
      </c>
    </row>
    <row r="7" spans="1:12" x14ac:dyDescent="0.25">
      <c r="A7" s="2" t="s">
        <v>11</v>
      </c>
      <c r="B7" s="9" t="s">
        <v>12</v>
      </c>
      <c r="C7" s="8" t="s">
        <v>25</v>
      </c>
      <c r="D7" s="2">
        <v>120</v>
      </c>
      <c r="E7" s="3" t="s">
        <v>20</v>
      </c>
      <c r="F7" s="4">
        <v>46076</v>
      </c>
      <c r="G7" s="4">
        <v>46193</v>
      </c>
      <c r="H7" s="5">
        <v>13759</v>
      </c>
      <c r="I7" s="10">
        <v>3523926.14</v>
      </c>
      <c r="J7" s="6">
        <v>1</v>
      </c>
      <c r="K7" s="12">
        <v>3165680.96</v>
      </c>
      <c r="L7" s="7">
        <v>0</v>
      </c>
    </row>
    <row r="8" spans="1:12" x14ac:dyDescent="0.25">
      <c r="A8" s="2" t="s">
        <v>11</v>
      </c>
      <c r="B8" s="9" t="s">
        <v>12</v>
      </c>
      <c r="C8" s="8" t="s">
        <v>15</v>
      </c>
      <c r="D8" s="2">
        <v>120</v>
      </c>
      <c r="E8" s="3" t="s">
        <v>20</v>
      </c>
      <c r="F8" s="4">
        <v>46076</v>
      </c>
      <c r="G8" s="4">
        <v>46193</v>
      </c>
      <c r="H8" s="5">
        <v>8707.4</v>
      </c>
      <c r="I8" s="10">
        <v>1981735.96</v>
      </c>
      <c r="J8" s="6">
        <v>1</v>
      </c>
      <c r="K8" s="12">
        <v>1664743.45</v>
      </c>
      <c r="L8" s="7">
        <v>0</v>
      </c>
    </row>
    <row r="9" spans="1:12" ht="14.25" customHeight="1" x14ac:dyDescent="0.25">
      <c r="A9" s="2" t="s">
        <v>11</v>
      </c>
      <c r="B9" s="9" t="s">
        <v>12</v>
      </c>
      <c r="C9" s="8" t="s">
        <v>16</v>
      </c>
      <c r="D9" s="2">
        <v>120</v>
      </c>
      <c r="E9" s="3" t="s">
        <v>20</v>
      </c>
      <c r="F9" s="4">
        <v>46076</v>
      </c>
      <c r="G9" s="4">
        <v>46192</v>
      </c>
      <c r="H9" s="5">
        <v>4602.3999999999996</v>
      </c>
      <c r="I9" s="10">
        <v>1084099.67</v>
      </c>
      <c r="J9" s="6">
        <v>1</v>
      </c>
      <c r="K9" s="12">
        <v>942001.64</v>
      </c>
      <c r="L9" s="7">
        <v>0</v>
      </c>
    </row>
    <row r="10" spans="1:12" x14ac:dyDescent="0.25">
      <c r="A10" s="2" t="s">
        <v>17</v>
      </c>
      <c r="B10" s="9" t="s">
        <v>18</v>
      </c>
      <c r="C10" s="8" t="s">
        <v>19</v>
      </c>
      <c r="D10" s="2">
        <v>90</v>
      </c>
      <c r="E10" s="3" t="s">
        <v>21</v>
      </c>
      <c r="F10" s="4">
        <v>46206</v>
      </c>
      <c r="G10" s="4">
        <v>46295</v>
      </c>
      <c r="H10" s="5">
        <v>7508.4</v>
      </c>
      <c r="I10" s="10">
        <v>1987651.67</v>
      </c>
      <c r="J10" s="6">
        <v>0.92</v>
      </c>
      <c r="K10" s="12">
        <f>1987651.67-395633.6</f>
        <v>1592018.0699999998</v>
      </c>
      <c r="L10" s="7">
        <f>I10-K10</f>
        <v>395633.60000000009</v>
      </c>
    </row>
    <row r="11" spans="1:12" x14ac:dyDescent="0.25">
      <c r="A11" s="13"/>
      <c r="B11" s="14" t="s">
        <v>12</v>
      </c>
      <c r="C11" s="22" t="s">
        <v>30</v>
      </c>
      <c r="D11" s="13"/>
      <c r="E11" s="15" t="s">
        <v>40</v>
      </c>
      <c r="F11" s="16">
        <v>46259</v>
      </c>
      <c r="G11" s="16">
        <v>46295</v>
      </c>
      <c r="H11" s="17">
        <v>12446</v>
      </c>
      <c r="I11" s="18">
        <v>3824629.24</v>
      </c>
      <c r="J11" s="19">
        <v>0.05</v>
      </c>
      <c r="K11" s="20">
        <v>0</v>
      </c>
      <c r="L11" s="21">
        <f>I11-K11</f>
        <v>3824629.24</v>
      </c>
    </row>
    <row r="12" spans="1:12" x14ac:dyDescent="0.25">
      <c r="A12" s="13"/>
      <c r="B12" s="14" t="s">
        <v>12</v>
      </c>
      <c r="C12" s="22" t="s">
        <v>32</v>
      </c>
      <c r="D12" s="13"/>
      <c r="E12" s="15" t="s">
        <v>31</v>
      </c>
      <c r="F12" s="16"/>
      <c r="G12" s="16"/>
      <c r="H12" s="17">
        <v>3728</v>
      </c>
      <c r="I12" s="18">
        <v>953958.37</v>
      </c>
      <c r="J12" s="19"/>
      <c r="K12" s="20"/>
      <c r="L12" s="21"/>
    </row>
    <row r="13" spans="1:12" x14ac:dyDescent="0.25">
      <c r="A13" s="13"/>
      <c r="B13" s="14" t="s">
        <v>18</v>
      </c>
      <c r="C13" s="23" t="s">
        <v>33</v>
      </c>
      <c r="D13" s="13"/>
      <c r="E13" s="15" t="s">
        <v>31</v>
      </c>
      <c r="F13" s="16"/>
      <c r="G13" s="16"/>
      <c r="H13" s="17">
        <v>16392</v>
      </c>
      <c r="I13" s="18">
        <v>6307093.7199999997</v>
      </c>
      <c r="J13" s="19"/>
      <c r="K13" s="20"/>
      <c r="L13" s="21"/>
    </row>
    <row r="14" spans="1:12" x14ac:dyDescent="0.25">
      <c r="A14" s="13"/>
      <c r="B14" s="14" t="s">
        <v>18</v>
      </c>
      <c r="C14" s="23" t="s">
        <v>34</v>
      </c>
      <c r="D14" s="13"/>
      <c r="E14" s="15" t="s">
        <v>31</v>
      </c>
      <c r="F14" s="16"/>
      <c r="G14" s="16"/>
      <c r="H14" s="17">
        <v>10851.4</v>
      </c>
      <c r="I14" s="18">
        <v>3512944.05</v>
      </c>
      <c r="J14" s="19"/>
      <c r="K14" s="20"/>
      <c r="L14" s="21"/>
    </row>
    <row r="15" spans="1:12" x14ac:dyDescent="0.25">
      <c r="A15" s="13"/>
      <c r="B15" s="14" t="s">
        <v>18</v>
      </c>
      <c r="C15" s="24" t="s">
        <v>39</v>
      </c>
      <c r="D15" s="13"/>
      <c r="E15" s="15" t="s">
        <v>31</v>
      </c>
      <c r="F15" s="16"/>
      <c r="G15" s="16"/>
      <c r="H15" s="17">
        <v>6546.32</v>
      </c>
      <c r="I15" s="18">
        <v>1487024.5</v>
      </c>
      <c r="J15" s="19"/>
      <c r="K15" s="20"/>
      <c r="L15" s="21"/>
    </row>
    <row r="16" spans="1:12" x14ac:dyDescent="0.25">
      <c r="A16" s="13"/>
      <c r="B16" s="14" t="s">
        <v>18</v>
      </c>
      <c r="C16" s="22" t="s">
        <v>35</v>
      </c>
      <c r="D16" s="13"/>
      <c r="E16" s="15" t="s">
        <v>31</v>
      </c>
      <c r="F16" s="16"/>
      <c r="G16" s="16"/>
      <c r="H16" s="17">
        <v>4280.3999999999996</v>
      </c>
      <c r="I16" s="18">
        <v>1188745.25</v>
      </c>
      <c r="J16" s="19"/>
      <c r="K16" s="20"/>
      <c r="L16" s="21"/>
    </row>
    <row r="17" spans="1:12" x14ac:dyDescent="0.25">
      <c r="A17" s="13"/>
      <c r="B17" s="14" t="s">
        <v>36</v>
      </c>
      <c r="C17" s="22" t="s">
        <v>37</v>
      </c>
      <c r="D17" s="13"/>
      <c r="E17" s="15" t="s">
        <v>31</v>
      </c>
      <c r="F17" s="16"/>
      <c r="G17" s="16"/>
      <c r="H17" s="17">
        <v>20523.740000000002</v>
      </c>
      <c r="I17" s="18">
        <v>7659286.0700000003</v>
      </c>
      <c r="J17" s="19"/>
      <c r="K17" s="20"/>
      <c r="L17" s="21"/>
    </row>
    <row r="18" spans="1:12" x14ac:dyDescent="0.25">
      <c r="A18" s="13"/>
      <c r="B18" s="14" t="s">
        <v>36</v>
      </c>
      <c r="C18" s="22" t="s">
        <v>38</v>
      </c>
      <c r="D18" s="13"/>
      <c r="E18" s="15" t="s">
        <v>31</v>
      </c>
      <c r="F18" s="16"/>
      <c r="G18" s="16"/>
      <c r="H18" s="17">
        <v>16717.8</v>
      </c>
      <c r="I18" s="18">
        <v>4540393.8</v>
      </c>
      <c r="J18" s="19"/>
      <c r="K18" s="20"/>
      <c r="L18" s="21"/>
    </row>
    <row r="19" spans="1:12" x14ac:dyDescent="0.25">
      <c r="A19" s="13"/>
      <c r="B19" s="14"/>
      <c r="C19" s="22"/>
      <c r="D19" s="13"/>
      <c r="E19" s="15"/>
      <c r="F19" s="16"/>
      <c r="G19" s="16"/>
      <c r="H19" s="17"/>
      <c r="I19" s="18"/>
      <c r="J19" s="19"/>
      <c r="K19" s="20"/>
      <c r="L19" s="21"/>
    </row>
    <row r="20" spans="1:12" x14ac:dyDescent="0.25">
      <c r="A20" s="13"/>
      <c r="B20" s="14"/>
      <c r="C20" s="22"/>
      <c r="D20" s="13"/>
      <c r="E20" s="15"/>
      <c r="F20" s="16"/>
      <c r="G20" s="16"/>
      <c r="H20" s="17"/>
      <c r="I20" s="18"/>
      <c r="J20" s="19"/>
      <c r="K20" s="20"/>
      <c r="L20" s="21"/>
    </row>
    <row r="24" spans="1:12" x14ac:dyDescent="0.25">
      <c r="B24" s="8" t="s">
        <v>26</v>
      </c>
    </row>
    <row r="25" spans="1:12" x14ac:dyDescent="0.25">
      <c r="B25" s="8" t="s">
        <v>27</v>
      </c>
    </row>
    <row r="26" spans="1:12" x14ac:dyDescent="0.25">
      <c r="B26" t="s">
        <v>29</v>
      </c>
    </row>
  </sheetData>
  <dataValidations count="1">
    <dataValidation type="list" allowBlank="1" sqref="E2:E20" xr:uid="{00000000-0002-0000-0000-000000000000}">
      <formula1>"Não iniciada,Em andamento,Finalizada"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Eder Azevedo</cp:lastModifiedBy>
  <cp:revision>0</cp:revision>
  <dcterms:created xsi:type="dcterms:W3CDTF">2026-08-08T14:56:47Z</dcterms:created>
  <dcterms:modified xsi:type="dcterms:W3CDTF">2026-08-26T14:59:49Z</dcterms:modified>
  <dc:language>en-US</dc:language>
</cp:coreProperties>
</file>